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to Run" sheetId="1" state="visible" r:id="rId1"/>
    <sheet xmlns:r="http://schemas.openxmlformats.org/officeDocument/2006/relationships" name="Marketing Value" sheetId="2" state="visible" r:id="rId2"/>
    <sheet xmlns:r="http://schemas.openxmlformats.org/officeDocument/2006/relationships" name="ROI Summary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  :  1"/>
  </numFmts>
  <fonts count="9">
    <font>
      <name val="Calibri"/>
      <family val="2"/>
      <color theme="1"/>
      <sz val="11"/>
      <scheme val="minor"/>
    </font>
    <font>
      <name val="Georgia"/>
      <b val="1"/>
      <color rgb="00E7B24A"/>
      <sz val="14"/>
    </font>
    <font>
      <name val="Calibri"/>
      <b val="1"/>
      <color rgb="00F1E7D2"/>
    </font>
    <font>
      <name val="Calibri"/>
      <i val="1"/>
      <color rgb="006B5E40"/>
      <sz val="9"/>
    </font>
    <font>
      <name val="Calibri"/>
      <b val="1"/>
    </font>
    <font>
      <name val="Calibri"/>
    </font>
    <font>
      <name val="Georgia"/>
      <b val="1"/>
      <color rgb="002C2417"/>
    </font>
    <font>
      <name val="Calibri"/>
      <i val="1"/>
      <color rgb="002C2417"/>
      <sz val="9"/>
    </font>
    <font>
      <name val="Calibri"/>
      <color rgb="002C2417"/>
      <sz val="11"/>
    </font>
  </fonts>
  <fills count="5">
    <fill>
      <patternFill/>
    </fill>
    <fill>
      <patternFill patternType="gray125"/>
    </fill>
    <fill>
      <patternFill patternType="solid">
        <fgColor rgb="000B1718"/>
      </patternFill>
    </fill>
    <fill>
      <patternFill patternType="solid">
        <fgColor rgb="00143335"/>
      </patternFill>
    </fill>
    <fill>
      <patternFill patternType="solid">
        <fgColor rgb="00E9DCBF"/>
      </patternFill>
    </fill>
  </fills>
  <borders count="2">
    <border>
      <left/>
      <right/>
      <top/>
      <bottom/>
      <diagonal/>
    </border>
    <border>
      <left style="thin">
        <color rgb="00C9BFA8"/>
      </left>
      <right style="thin">
        <color rgb="00C9BFA8"/>
      </right>
      <top style="thin">
        <color rgb="00C9BFA8"/>
      </top>
      <bottom style="thin">
        <color rgb="00C9BFA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6" fillId="4" borderId="0" pivotButton="0" quotePrefix="0" xfId="0"/>
    <xf numFmtId="164" fontId="6" fillId="4" borderId="0" applyAlignment="1" pivotButton="0" quotePrefix="0" xfId="0">
      <alignment horizontal="right"/>
    </xf>
    <xf numFmtId="0" fontId="7" fillId="4" borderId="0" pivotButton="0" quotePrefix="0" xfId="0"/>
    <xf numFmtId="0" fontId="0" fillId="4" borderId="0" pivotButton="0" quotePrefix="0" xfId="0"/>
    <xf numFmtId="165" fontId="6" fillId="4" borderId="0" applyAlignment="1" pivotButton="0" quotePrefix="0" xfId="0">
      <alignment horizontal="right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52" customWidth="1" min="5" max="5"/>
  </cols>
  <sheetData>
    <row r="1" ht="30" customHeight="1">
      <c r="A1" s="1" t="inlineStr">
        <is>
          <t>SebaHub Treasure Chest Challenge  —  Annual Operating Cost</t>
        </is>
      </c>
    </row>
    <row r="3">
      <c r="A3" s="2" t="inlineStr">
        <is>
          <t>Cost item</t>
        </is>
      </c>
      <c r="B3" s="3" t="inlineStr">
        <is>
          <t>Lean</t>
        </is>
      </c>
      <c r="C3" s="3" t="inlineStr">
        <is>
          <t>Working</t>
        </is>
      </c>
      <c r="D3" s="3" t="inlineStr">
        <is>
          <t>Fuller</t>
        </is>
      </c>
      <c r="E3" s="2" t="inlineStr">
        <is>
          <t>Notes</t>
        </is>
      </c>
    </row>
    <row r="4">
      <c r="A4" s="4" t="inlineStr">
        <is>
          <t>Coordination &amp; operator</t>
        </is>
      </c>
      <c r="B4" s="5" t="n">
        <v>8000</v>
      </c>
      <c r="C4" s="5" t="n">
        <v>15000</v>
      </c>
      <c r="D4" s="5" t="n">
        <v>18000</v>
      </c>
      <c r="E4" s="6" t="inlineStr">
        <is>
          <t>Part-time operator across ramp, run &amp; retro — the biggest line</t>
        </is>
      </c>
    </row>
    <row r="5">
      <c r="A5" s="4" t="inlineStr">
        <is>
          <t>The app (build + hosting)</t>
        </is>
      </c>
      <c r="B5" s="5" t="n">
        <v>2000</v>
      </c>
      <c r="C5" s="5" t="n">
        <v>6000</v>
      </c>
      <c r="D5" s="5" t="n">
        <v>10000</v>
      </c>
      <c r="E5" s="6" t="inlineStr">
        <is>
          <t>Map, chaser, clue log, registration, prize tracker; AI-assisted build</t>
        </is>
      </c>
    </row>
    <row r="6">
      <c r="A6" s="4" t="inlineStr">
        <is>
          <t>Legal, AGLC review &amp; agreements</t>
        </is>
      </c>
      <c r="B6" s="5" t="n">
        <v>2500</v>
      </c>
      <c r="C6" s="5" t="n">
        <v>4000</v>
      </c>
      <c r="D6" s="5" t="n">
        <v>5000</v>
      </c>
      <c r="E6" s="6" t="inlineStr">
        <is>
          <t>Pure-skill/free-entry sign-off, official rules, sponsor &amp; Blue Seal agreements</t>
        </is>
      </c>
    </row>
    <row r="7">
      <c r="A7" s="4" t="inlineStr">
        <is>
          <t>Marketing, signage, clue kits &amp; candy</t>
        </is>
      </c>
      <c r="B7" s="5" t="n">
        <v>3000</v>
      </c>
      <c r="C7" s="5" t="n">
        <v>6000</v>
      </c>
      <c r="D7" s="5" t="n">
        <v>7000</v>
      </c>
      <c r="E7" s="6" t="inlineStr">
        <is>
          <t>Most reach is earned/sponsor; this is production &amp; print</t>
        </is>
      </c>
    </row>
    <row r="8">
      <c r="A8" s="4" t="inlineStr">
        <is>
          <t>Treasure, judging &amp; bi-weekly attestation</t>
        </is>
      </c>
      <c r="B8" s="5" t="n">
        <v>1500</v>
      </c>
      <c r="C8" s="5" t="n">
        <v>3000</v>
      </c>
      <c r="D8" s="5" t="n">
        <v>3500</v>
      </c>
      <c r="E8" s="6" t="inlineStr">
        <is>
          <t>The chest &amp; markers, judges' time, the attestation event</t>
        </is>
      </c>
    </row>
    <row r="9">
      <c r="A9" s="4" t="inlineStr">
        <is>
          <t>Insurance &amp; liability</t>
        </is>
      </c>
      <c r="B9" s="5" t="n">
        <v>2000</v>
      </c>
      <c r="C9" s="5" t="n">
        <v>3000</v>
      </c>
      <c r="D9" s="5" t="n">
        <v>4000</v>
      </c>
      <c r="E9" s="6" t="inlineStr">
        <is>
          <t>Public-on-property coverage — non-negotiable</t>
        </is>
      </c>
    </row>
    <row r="10">
      <c r="A10" s="4" t="inlineStr">
        <is>
          <t>Events (BBQ/band/actors/hayrides) — net</t>
        </is>
      </c>
      <c r="B10" s="5" t="n">
        <v>0</v>
      </c>
      <c r="C10" s="5" t="n">
        <v>0</v>
      </c>
      <c r="D10" s="5" t="n">
        <v>0</v>
      </c>
      <c r="E10" s="6" t="inlineStr">
        <is>
          <t>Funded by ticket sales; treated as break-even</t>
        </is>
      </c>
    </row>
    <row r="11">
      <c r="A11" s="7" t="inlineStr">
        <is>
          <t>Subtotal</t>
        </is>
      </c>
      <c r="B11" s="8">
        <f>SUM(B4:B10)</f>
        <v/>
      </c>
      <c r="C11" s="8">
        <f>SUM(C4:C10)</f>
        <v/>
      </c>
      <c r="D11" s="8">
        <f>SUM(D4:D10)</f>
        <v/>
      </c>
    </row>
    <row r="12">
      <c r="A12" s="9" t="inlineStr">
        <is>
          <t>Contingency (15%)</t>
        </is>
      </c>
      <c r="B12" s="10">
        <f>ROUND(0.15*B11,0)</f>
        <v/>
      </c>
      <c r="C12" s="10">
        <f>ROUND(0.15*C11,0)</f>
        <v/>
      </c>
      <c r="D12" s="10">
        <f>ROUND(0.15*D11,0)</f>
        <v/>
      </c>
    </row>
    <row r="13">
      <c r="A13" s="11" t="inlineStr">
        <is>
          <t>TOTAL ANNUAL COST</t>
        </is>
      </c>
      <c r="B13" s="12">
        <f>B11+B12</f>
        <v/>
      </c>
      <c r="C13" s="12">
        <f>C11+C12</f>
        <v/>
      </c>
      <c r="D13" s="12">
        <f>D11+D12</f>
        <v/>
      </c>
      <c r="E13" s="13" t="inlineStr">
        <is>
          <t>Prize itself is sponsor-funded = $0 to us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60" customWidth="1" min="4" max="4"/>
  </cols>
  <sheetData>
    <row r="1" ht="30" customHeight="1">
      <c r="A1" s="1" t="inlineStr">
        <is>
          <t>What we're buying  —  Marketing Value Appraisal</t>
        </is>
      </c>
    </row>
    <row r="3">
      <c r="A3" s="2" t="inlineStr">
        <is>
          <t>Value driver</t>
        </is>
      </c>
      <c r="B3" s="3" t="inlineStr">
        <is>
          <t>Conservative</t>
        </is>
      </c>
      <c r="C3" s="3" t="inlineStr">
        <is>
          <t>Likely</t>
        </is>
      </c>
      <c r="D3" s="2" t="inlineStr">
        <is>
          <t>Basis</t>
        </is>
      </c>
    </row>
    <row r="4">
      <c r="A4" s="4" t="inlineStr">
        <is>
          <t>Earned media</t>
        </is>
      </c>
      <c r="B4" s="5" t="n">
        <v>30000</v>
      </c>
      <c r="C4" s="5" t="n">
        <v>60000</v>
      </c>
      <c r="D4" s="6" t="inlineStr">
        <is>
          <t>Weeks of regional press + the CFCW Friday 8am-noon segment across the run</t>
        </is>
      </c>
    </row>
    <row r="5">
      <c r="A5" s="4" t="inlineStr">
        <is>
          <t>Owned email list</t>
        </is>
      </c>
      <c r="B5" s="5" t="n">
        <v>35000</v>
      </c>
      <c r="C5" s="5" t="n">
        <v>90000</v>
      </c>
      <c r="D5" s="6" t="inlineStr">
        <is>
          <t>~2,500-5,000 opted-in households x cross-property lifetime value; compounds yearly</t>
        </is>
      </c>
    </row>
    <row r="6">
      <c r="A6" s="4" t="inlineStr">
        <is>
          <t>On-site &amp; merchant spend</t>
        </is>
      </c>
      <c r="B6" s="5" t="n">
        <v>40000</v>
      </c>
      <c r="C6" s="5" t="n">
        <v>70000</v>
      </c>
      <c r="D6" s="6" t="inlineStr">
        <is>
          <t>BBQ, cafe, sites, concert, gas + Blue Seal shopping during the campaign</t>
        </is>
      </c>
    </row>
    <row r="7">
      <c r="A7" s="4" t="inlineStr">
        <is>
          <t>Brand &amp; sponsor relationships</t>
        </is>
      </c>
      <c r="B7" s="5" t="n">
        <v>0</v>
      </c>
      <c r="C7" s="5" t="n">
        <v>0</v>
      </c>
      <c r="D7" s="6" t="inlineStr">
        <is>
          <t>Positioning + B2B ties — real upside, not counted here</t>
        </is>
      </c>
    </row>
    <row r="8">
      <c r="A8" s="11" t="inlineStr">
        <is>
          <t>TOTAL VALUE / YEAR</t>
        </is>
      </c>
      <c r="B8" s="12">
        <f>SUM(B4:B7)</f>
        <v/>
      </c>
      <c r="C8" s="12">
        <f>SUM(C4:C7)</f>
        <v/>
      </c>
      <c r="D8" s="1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30" customHeight="1">
      <c r="A1" s="1" t="inlineStr">
        <is>
          <t>ROI Summary</t>
        </is>
      </c>
    </row>
    <row r="3">
      <c r="A3" s="7" t="inlineStr">
        <is>
          <t>Annual cost to run (Working)</t>
        </is>
      </c>
      <c r="B3" s="10">
        <f>'Cost to Run'!C13</f>
        <v/>
      </c>
    </row>
    <row r="4">
      <c r="A4" s="9" t="inlineStr">
        <is>
          <t>Prize cost to BAAFFG (sponsor-funded)</t>
        </is>
      </c>
      <c r="B4" s="10" t="n">
        <v>0</v>
      </c>
    </row>
    <row r="5">
      <c r="A5" s="9" t="inlineStr">
        <is>
          <t>Marketing value — Conservative</t>
        </is>
      </c>
      <c r="B5" s="10">
        <f>'Marketing Value'!B8</f>
        <v/>
      </c>
    </row>
    <row r="6">
      <c r="A6" s="9" t="inlineStr">
        <is>
          <t>Marketing value — Likely</t>
        </is>
      </c>
      <c r="B6" s="10">
        <f>'Marketing Value'!C8</f>
        <v/>
      </c>
    </row>
    <row r="7">
      <c r="A7" s="11" t="inlineStr">
        <is>
          <t>ROI — Conservative</t>
        </is>
      </c>
      <c r="B7" s="15">
        <f>B5/B3</f>
        <v/>
      </c>
    </row>
    <row r="8">
      <c r="A8" s="11" t="inlineStr">
        <is>
          <t>ROI — Likely</t>
        </is>
      </c>
      <c r="B8" s="15">
        <f>B6/B3</f>
        <v/>
      </c>
    </row>
    <row r="10">
      <c r="A10" s="9" t="inlineStr">
        <is>
          <t>Net value created (Conservative)</t>
        </is>
      </c>
      <c r="B10" s="10">
        <f>B5-B3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Assumptions &amp; Caveats  —  read me first</t>
        </is>
      </c>
    </row>
    <row r="3" ht="34" customHeight="1">
      <c r="A3" s="16" t="inlineStr">
        <is>
          <t>•  FIRST-PASS APPRAISAL, NOT A QUOTE. Replace the input numbers with real quotes before any commitment.</t>
        </is>
      </c>
    </row>
    <row r="4" ht="34" customHeight="1">
      <c r="A4" s="16" t="inlineStr">
        <is>
          <t>•  The PRIZE is sponsor-funded, so it is $0 cost to BAAFFG. These sheets cost only the running of the hunt.</t>
        </is>
      </c>
    </row>
    <row r="5" ht="34" customHeight="1">
      <c r="A5" s="16" t="inlineStr">
        <is>
          <t>•  App cost assumes an AI-assisted build (Tim's fleet) — a fully outsourced app pushes the 'Fuller' column.</t>
        </is>
      </c>
    </row>
    <row r="6" ht="34" customHeight="1">
      <c r="A6" s="16" t="inlineStr">
        <is>
          <t>•  Events (BBQ, band, character actors, hayrides) are assumed funded by ticket sales = net break-even.</t>
        </is>
      </c>
    </row>
    <row r="7" ht="34" customHeight="1">
      <c r="A7" s="16" t="inlineStr">
        <is>
          <t>•  Owned-list value assumes 2,500-5,000 opted-in households at a $15-$30 cross-property lifetime value, marketed across the RV park, cafe, wedding venue, school and events.</t>
        </is>
      </c>
    </row>
    <row r="8" ht="34" customHeight="1">
      <c r="A8" s="16" t="inlineStr">
        <is>
          <t>•  Earned-media value credits weeks of regional press plus the CFCW Friday 8am-noon radio segment as effectively sponsored airtime.</t>
        </is>
      </c>
    </row>
    <row r="9" ht="34" customHeight="1">
      <c r="A9" s="16" t="inlineStr">
        <is>
          <t>•  TOP RISK: the Blue Seal 10%-of-purchases mechanic is the closest thing to 'spend-and-win' and MUST clear AGLC/legal before it runs. It is not a cost line, but it gates the model.</t>
        </is>
      </c>
    </row>
    <row r="10" ht="34" customHeight="1">
      <c r="A10" s="16" t="inlineStr">
        <is>
          <t>•  Track ACTUALS against these estimates in the Learning Loop after Year 1 and update the inputs.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2026-06-26T03:23:01Z</dcterms:created>
  <dcterms:modified xmlns:dcterms="http://purl.org/dc/terms/" xmlns:xsi="http://www.w3.org/2001/XMLSchema-instance" xsi:type="dcterms:W3CDTF">2026-06-26T03:23:01Z</dcterms:modified>
</cp:coreProperties>
</file>